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rb\Desktop\"/>
    </mc:Choice>
  </mc:AlternateContent>
  <xr:revisionPtr revIDLastSave="0" documentId="8_{17D489D5-C3A9-49FE-8C91-6043AA7230CA}" xr6:coauthVersionLast="47" xr6:coauthVersionMax="47" xr10:uidLastSave="{00000000-0000-0000-0000-000000000000}"/>
  <bookViews>
    <workbookView xWindow="-108" yWindow="-108" windowWidth="23256" windowHeight="12576" activeTab="2" xr2:uid="{08BA0842-2246-4FF2-BE6E-6A6076D3AA0C}"/>
  </bookViews>
  <sheets>
    <sheet name="Master_Data" sheetId="1" r:id="rId1"/>
    <sheet name="Pivot_Tables" sheetId="2" r:id="rId2"/>
    <sheet name="Dashboard" sheetId="3" r:id="rId3"/>
  </sheets>
  <definedNames>
    <definedName name="Dilimleyici_Category">#N/A</definedName>
    <definedName name="Dilimleyici_Return_Status">#N/A</definedName>
  </definedNames>
  <calcPr calcId="191029"/>
  <pivotCaches>
    <pivotCache cacheId="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3" l="1"/>
  <c r="H10" i="3"/>
  <c r="B10" i="3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</calcChain>
</file>

<file path=xl/sharedStrings.xml><?xml version="1.0" encoding="utf-8"?>
<sst xmlns="http://schemas.openxmlformats.org/spreadsheetml/2006/main" count="185" uniqueCount="89">
  <si>
    <t>ORD001</t>
  </si>
  <si>
    <t>CUST101</t>
  </si>
  <si>
    <t>Elektronik</t>
  </si>
  <si>
    <t>Kablosuz Kulaklik</t>
  </si>
  <si>
    <t>Almanya</t>
  </si>
  <si>
    <t>DHL</t>
  </si>
  <si>
    <t>Hayir</t>
  </si>
  <si>
    <t>ORD002</t>
  </si>
  <si>
    <t>CUST102</t>
  </si>
  <si>
    <t>Ev &amp; Yasam</t>
  </si>
  <si>
    <t>Kahve Makinesi</t>
  </si>
  <si>
    <t>Fransa</t>
  </si>
  <si>
    <t>FedEx</t>
  </si>
  <si>
    <t>ORD003</t>
  </si>
  <si>
    <t>CUST103</t>
  </si>
  <si>
    <t>Tekstil</t>
  </si>
  <si>
    <t>Spor Ayakkabi</t>
  </si>
  <si>
    <t>Turkiye</t>
  </si>
  <si>
    <t>Aras Kargo</t>
  </si>
  <si>
    <t>Evet</t>
  </si>
  <si>
    <t>ORD004</t>
  </si>
  <si>
    <t>CUST104</t>
  </si>
  <si>
    <t>Akilli Saat</t>
  </si>
  <si>
    <t>ORD005</t>
  </si>
  <si>
    <t>CUST105</t>
  </si>
  <si>
    <t>Calisma Masasi</t>
  </si>
  <si>
    <t>Ingiltere</t>
  </si>
  <si>
    <t>UPS</t>
  </si>
  <si>
    <t>ORD006</t>
  </si>
  <si>
    <t>ORD007</t>
  </si>
  <si>
    <t>CUST106</t>
  </si>
  <si>
    <t>Kislik Mont</t>
  </si>
  <si>
    <t>ORD008</t>
  </si>
  <si>
    <t>CUST107</t>
  </si>
  <si>
    <t>Kitaplik</t>
  </si>
  <si>
    <t>Yurtiçi Kargo</t>
  </si>
  <si>
    <t>ORD009</t>
  </si>
  <si>
    <t>CUST108</t>
  </si>
  <si>
    <t>Oyuncu Mouse</t>
  </si>
  <si>
    <t>ORD010</t>
  </si>
  <si>
    <t>CUST109</t>
  </si>
  <si>
    <t>ORD011</t>
  </si>
  <si>
    <t>CUST110</t>
  </si>
  <si>
    <t>ORD012</t>
  </si>
  <si>
    <t>ORD013</t>
  </si>
  <si>
    <t>CUST111</t>
  </si>
  <si>
    <t>ORD014</t>
  </si>
  <si>
    <t>CUST112</t>
  </si>
  <si>
    <t>ORD015</t>
  </si>
  <si>
    <t>ORD016</t>
  </si>
  <si>
    <t>CUST113</t>
  </si>
  <si>
    <t>ORD017</t>
  </si>
  <si>
    <t>CUST114</t>
  </si>
  <si>
    <t>ORD018</t>
  </si>
  <si>
    <t>CUST115</t>
  </si>
  <si>
    <t>ORD019</t>
  </si>
  <si>
    <t>CUST116</t>
  </si>
  <si>
    <t>ORD020</t>
  </si>
  <si>
    <t>CUST117</t>
  </si>
  <si>
    <t>Revenue</t>
  </si>
  <si>
    <t>Total_Cost</t>
  </si>
  <si>
    <t>Net_Profit</t>
  </si>
  <si>
    <t>Shipping_Lead_Time</t>
  </si>
  <si>
    <t>Order_ID</t>
  </si>
  <si>
    <t>Customer_ID</t>
  </si>
  <si>
    <t>Order_Date</t>
  </si>
  <si>
    <t>Cargo_Date</t>
  </si>
  <si>
    <t>Category</t>
  </si>
  <si>
    <t>Product_Name</t>
  </si>
  <si>
    <t>Quantity</t>
  </si>
  <si>
    <t>Unit_Price</t>
  </si>
  <si>
    <t>Cost</t>
  </si>
  <si>
    <t>Country</t>
  </si>
  <si>
    <t>Cargo_Company</t>
  </si>
  <si>
    <t>Return_Status</t>
  </si>
  <si>
    <t>Satır Etiketleri</t>
  </si>
  <si>
    <t>Genel Toplam</t>
  </si>
  <si>
    <t>Toplam Revenue</t>
  </si>
  <si>
    <t>Toplam Net_Profit</t>
  </si>
  <si>
    <t>Oca</t>
  </si>
  <si>
    <t>Şub</t>
  </si>
  <si>
    <t>Mar</t>
  </si>
  <si>
    <t>Say Order_ID</t>
  </si>
  <si>
    <t>Ortalama Shipping_Lead_Time</t>
  </si>
  <si>
    <t>(Tümü)</t>
  </si>
  <si>
    <t>E-Commerce &amp; Logistics Performance Dashboard</t>
  </si>
  <si>
    <t>Total Revenue</t>
  </si>
  <si>
    <t>Total Net Profit</t>
  </si>
  <si>
    <t>Avg. Shipping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</si>
</sst>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&quot;₺&quot;#,##0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28"/>
      <color theme="0"/>
      <name val="Arial"/>
      <family val="2"/>
      <charset val="162"/>
    </font>
    <font>
      <b/>
      <sz val="16"/>
      <color theme="1"/>
      <name val="Arial"/>
      <family val="2"/>
      <charset val="162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/>
    <xf numFmtId="1" fontId="0" fillId="0" borderId="0" xfId="0" applyNumberFormat="1"/>
    <xf numFmtId="167" fontId="1" fillId="0" borderId="0" xfId="0" applyNumberFormat="1" applyFont="1" applyAlignment="1">
      <alignment horizontal="center" vertical="center"/>
    </xf>
    <xf numFmtId="167" fontId="0" fillId="0" borderId="0" xfId="0" applyNumberForma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pivotButton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1" xfId="0" pivotButton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  <xf numFmtId="0" fontId="5" fillId="3" borderId="1" xfId="0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9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67" formatCode="&quot;₺&quot;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67" formatCode="&quot;₺&quot;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67" formatCode="&quot;₺&quot;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67" formatCode="&quot;₺&quot;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67" formatCode="&quot;₺&quot;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6B6D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[ECommerce_Logistics_Performance_Analysis.xlsx]Pivot_Tables!PivotTable1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>
                <a:latin typeface="Arial" panose="020B0604020202020204" pitchFamily="34" charset="0"/>
                <a:cs typeface="Arial" panose="020B0604020202020204" pitchFamily="34" charset="0"/>
              </a:rPr>
              <a:t>Country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Toplam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Pivot_Tables!$A$2:$A$6</c:f>
              <c:strCache>
                <c:ptCount val="4"/>
                <c:pt idx="0">
                  <c:v>Almanya</c:v>
                </c:pt>
                <c:pt idx="1">
                  <c:v>Fransa</c:v>
                </c:pt>
                <c:pt idx="2">
                  <c:v>Ingiltere</c:v>
                </c:pt>
                <c:pt idx="3">
                  <c:v>Turkiye</c:v>
                </c:pt>
              </c:strCache>
            </c:strRef>
          </c:cat>
          <c:val>
            <c:numRef>
              <c:f>Pivot_Tables!$B$2:$B$6</c:f>
              <c:numCache>
                <c:formatCode>"₺"#,##0</c:formatCode>
                <c:ptCount val="4"/>
                <c:pt idx="0">
                  <c:v>1720</c:v>
                </c:pt>
                <c:pt idx="1">
                  <c:v>1460</c:v>
                </c:pt>
                <c:pt idx="2">
                  <c:v>1430</c:v>
                </c:pt>
                <c:pt idx="3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9-45A9-80D7-814709B3FB9F}"/>
            </c:ext>
          </c:extLst>
        </c:ser>
        <c:ser>
          <c:idx val="1"/>
          <c:order val="1"/>
          <c:tx>
            <c:strRef>
              <c:f>Pivot_Tables!$C$1</c:f>
              <c:strCache>
                <c:ptCount val="1"/>
                <c:pt idx="0">
                  <c:v>Toplam Net_Profit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Pivot_Tables!$A$2:$A$6</c:f>
              <c:strCache>
                <c:ptCount val="4"/>
                <c:pt idx="0">
                  <c:v>Almanya</c:v>
                </c:pt>
                <c:pt idx="1">
                  <c:v>Fransa</c:v>
                </c:pt>
                <c:pt idx="2">
                  <c:v>Ingiltere</c:v>
                </c:pt>
                <c:pt idx="3">
                  <c:v>Turkiye</c:v>
                </c:pt>
              </c:strCache>
            </c:strRef>
          </c:cat>
          <c:val>
            <c:numRef>
              <c:f>Pivot_Tables!$C$2:$C$6</c:f>
              <c:numCache>
                <c:formatCode>"₺"#,##0</c:formatCode>
                <c:ptCount val="4"/>
                <c:pt idx="0">
                  <c:v>930</c:v>
                </c:pt>
                <c:pt idx="1">
                  <c:v>820</c:v>
                </c:pt>
                <c:pt idx="2">
                  <c:v>785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D9-45A9-80D7-814709B3F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790063"/>
        <c:axId val="1873802543"/>
      </c:barChart>
      <c:catAx>
        <c:axId val="187379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3802543"/>
        <c:crosses val="autoZero"/>
        <c:auto val="1"/>
        <c:lblAlgn val="ctr"/>
        <c:lblOffset val="100"/>
        <c:noMultiLvlLbl val="0"/>
      </c:catAx>
      <c:valAx>
        <c:axId val="1873802543"/>
        <c:scaling>
          <c:orientation val="minMax"/>
        </c:scaling>
        <c:delete val="0"/>
        <c:axPos val="l"/>
        <c:numFmt formatCode="&quot;₺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379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[ECommerce_Logistics_Performance_Analysis.xlsx]Pivot_Tables!PivotTable2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600" b="1">
                <a:latin typeface="Arial" panose="020B0604020202020204" pitchFamily="34" charset="0"/>
                <a:cs typeface="Arial" panose="020B0604020202020204" pitchFamily="34" charset="0"/>
              </a:rPr>
              <a:t>Time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Pivot_Tables!$H$1</c:f>
              <c:strCache>
                <c:ptCount val="1"/>
                <c:pt idx="0">
                  <c:v>Toplam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Pivot_Tables!$G$2:$G$5</c:f>
              <c:strCache>
                <c:ptCount val="3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</c:strCache>
            </c:strRef>
          </c:cat>
          <c:val>
            <c:numRef>
              <c:f>Pivot_Tables!$H$2:$H$5</c:f>
              <c:numCache>
                <c:formatCode>"₺"#,##0</c:formatCode>
                <c:ptCount val="3"/>
                <c:pt idx="0">
                  <c:v>2020</c:v>
                </c:pt>
                <c:pt idx="1">
                  <c:v>1840</c:v>
                </c:pt>
                <c:pt idx="2">
                  <c:v>1370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5-4B64-860D-E367A5F6A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793903"/>
        <c:axId val="1873793423"/>
      </c:lineChart>
      <c:lineChart>
        <c:grouping val="standard"/>
        <c:varyColors val="0"/>
        <c:ser>
          <c:idx val="1"/>
          <c:order val="1"/>
          <c:tx>
            <c:strRef>
              <c:f>Pivot_Tables!$I$1</c:f>
              <c:strCache>
                <c:ptCount val="1"/>
                <c:pt idx="0">
                  <c:v>Say Order_ID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Pivot_Tables!$G$2:$G$5</c:f>
              <c:strCache>
                <c:ptCount val="3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</c:strCache>
            </c:strRef>
          </c:cat>
          <c:val>
            <c:numRef>
              <c:f>Pivot_Tables!$I$2:$I$5</c:f>
              <c:numCache>
                <c:formatCode>General</c:formatCode>
                <c:ptCount val="3"/>
                <c:pt idx="0">
                  <c:v>8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F5-4B64-860D-E367A5F6A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916975"/>
        <c:axId val="1804916495"/>
      </c:lineChart>
      <c:catAx>
        <c:axId val="187379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3793423"/>
        <c:crosses val="autoZero"/>
        <c:auto val="1"/>
        <c:lblAlgn val="ctr"/>
        <c:lblOffset val="100"/>
        <c:noMultiLvlLbl val="0"/>
      </c:catAx>
      <c:valAx>
        <c:axId val="1873793423"/>
        <c:scaling>
          <c:orientation val="minMax"/>
        </c:scaling>
        <c:delete val="0"/>
        <c:axPos val="l"/>
        <c:numFmt formatCode="&quot;₺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3793903"/>
        <c:crosses val="autoZero"/>
        <c:crossBetween val="between"/>
      </c:valAx>
      <c:valAx>
        <c:axId val="1804916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04916975"/>
        <c:crosses val="max"/>
        <c:crossBetween val="between"/>
      </c:valAx>
      <c:catAx>
        <c:axId val="1804916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49164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[ECommerce_Logistics_Performance_Analysis.xlsx]Pivot_Tables!PivotTable3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600" b="1">
                <a:latin typeface="Arial" panose="020B0604020202020204" pitchFamily="34" charset="0"/>
                <a:cs typeface="Arial" panose="020B0604020202020204" pitchFamily="34" charset="0"/>
              </a:rPr>
              <a:t>Avg. Shipping Time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896944444444444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Pivot_Tables!$N$3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Pivot_Tables!$M$4:$M$9</c:f>
              <c:strCache>
                <c:ptCount val="5"/>
                <c:pt idx="0">
                  <c:v>Aras Kargo</c:v>
                </c:pt>
                <c:pt idx="1">
                  <c:v>DHL</c:v>
                </c:pt>
                <c:pt idx="2">
                  <c:v>FedEx</c:v>
                </c:pt>
                <c:pt idx="3">
                  <c:v>UPS</c:v>
                </c:pt>
                <c:pt idx="4">
                  <c:v>Yurtiçi Kargo</c:v>
                </c:pt>
              </c:strCache>
            </c:strRef>
          </c:cat>
          <c:val>
            <c:numRef>
              <c:f>Pivot_Tables!$N$4:$N$9</c:f>
              <c:numCache>
                <c:formatCode>General</c:formatCode>
                <c:ptCount val="5"/>
                <c:pt idx="0">
                  <c:v>3</c:v>
                </c:pt>
                <c:pt idx="1">
                  <c:v>3.1666666666666665</c:v>
                </c:pt>
                <c:pt idx="2">
                  <c:v>2.2000000000000002</c:v>
                </c:pt>
                <c:pt idx="3">
                  <c:v>1.4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8-4CB8-B8A2-CEEB76408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944191"/>
        <c:axId val="2042924991"/>
      </c:barChart>
      <c:catAx>
        <c:axId val="2042944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42924991"/>
        <c:crosses val="autoZero"/>
        <c:auto val="1"/>
        <c:lblAlgn val="ctr"/>
        <c:lblOffset val="100"/>
        <c:noMultiLvlLbl val="0"/>
      </c:catAx>
      <c:valAx>
        <c:axId val="204292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4294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[ECommerce_Logistics_Performance_Analysis.xlsx]Pivot_Tables!PivotTable2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600" b="1">
                <a:latin typeface="Arial" panose="020B0604020202020204" pitchFamily="34" charset="0"/>
                <a:cs typeface="Arial" panose="020B0604020202020204" pitchFamily="34" charset="0"/>
              </a:rPr>
              <a:t>Time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Pivot_Tables!$H$1</c:f>
              <c:strCache>
                <c:ptCount val="1"/>
                <c:pt idx="0">
                  <c:v>Toplam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Pivot_Tables!$G$2:$G$5</c:f>
              <c:strCache>
                <c:ptCount val="3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</c:strCache>
            </c:strRef>
          </c:cat>
          <c:val>
            <c:numRef>
              <c:f>Pivot_Tables!$H$2:$H$5</c:f>
              <c:numCache>
                <c:formatCode>"₺"#,##0</c:formatCode>
                <c:ptCount val="3"/>
                <c:pt idx="0">
                  <c:v>2020</c:v>
                </c:pt>
                <c:pt idx="1">
                  <c:v>1840</c:v>
                </c:pt>
                <c:pt idx="2">
                  <c:v>1370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D-40FA-B9D2-D8C08CF3C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793903"/>
        <c:axId val="1873793423"/>
      </c:lineChart>
      <c:lineChart>
        <c:grouping val="standard"/>
        <c:varyColors val="0"/>
        <c:ser>
          <c:idx val="1"/>
          <c:order val="1"/>
          <c:tx>
            <c:strRef>
              <c:f>Pivot_Tables!$I$1</c:f>
              <c:strCache>
                <c:ptCount val="1"/>
                <c:pt idx="0">
                  <c:v>Say Order_ID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Pivot_Tables!$G$2:$G$5</c:f>
              <c:strCache>
                <c:ptCount val="3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</c:strCache>
            </c:strRef>
          </c:cat>
          <c:val>
            <c:numRef>
              <c:f>Pivot_Tables!$I$2:$I$5</c:f>
              <c:numCache>
                <c:formatCode>General</c:formatCode>
                <c:ptCount val="3"/>
                <c:pt idx="0">
                  <c:v>8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6D-40FA-B9D2-D8C08CF3C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916975"/>
        <c:axId val="1804916495"/>
      </c:lineChart>
      <c:catAx>
        <c:axId val="187379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3793423"/>
        <c:crosses val="autoZero"/>
        <c:auto val="1"/>
        <c:lblAlgn val="ctr"/>
        <c:lblOffset val="100"/>
        <c:noMultiLvlLbl val="0"/>
      </c:catAx>
      <c:valAx>
        <c:axId val="1873793423"/>
        <c:scaling>
          <c:orientation val="minMax"/>
        </c:scaling>
        <c:delete val="0"/>
        <c:axPos val="l"/>
        <c:numFmt formatCode="&quot;₺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3793903"/>
        <c:crosses val="autoZero"/>
        <c:crossBetween val="between"/>
      </c:valAx>
      <c:valAx>
        <c:axId val="1804916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04916975"/>
        <c:crosses val="max"/>
        <c:crossBetween val="between"/>
      </c:valAx>
      <c:catAx>
        <c:axId val="1804916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49164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[ECommerce_Logistics_Performance_Analysis.xlsx]Pivot_Tables!PivotTable3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600" b="1">
                <a:latin typeface="Arial" panose="020B0604020202020204" pitchFamily="34" charset="0"/>
                <a:cs typeface="Arial" panose="020B0604020202020204" pitchFamily="34" charset="0"/>
              </a:rPr>
              <a:t>Avg. Shipping Time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896944444444444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Pivot_Tables!$N$3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Pivot_Tables!$M$4:$M$9</c:f>
              <c:strCache>
                <c:ptCount val="5"/>
                <c:pt idx="0">
                  <c:v>Aras Kargo</c:v>
                </c:pt>
                <c:pt idx="1">
                  <c:v>DHL</c:v>
                </c:pt>
                <c:pt idx="2">
                  <c:v>FedEx</c:v>
                </c:pt>
                <c:pt idx="3">
                  <c:v>UPS</c:v>
                </c:pt>
                <c:pt idx="4">
                  <c:v>Yurtiçi Kargo</c:v>
                </c:pt>
              </c:strCache>
            </c:strRef>
          </c:cat>
          <c:val>
            <c:numRef>
              <c:f>Pivot_Tables!$N$4:$N$9</c:f>
              <c:numCache>
                <c:formatCode>General</c:formatCode>
                <c:ptCount val="5"/>
                <c:pt idx="0">
                  <c:v>3</c:v>
                </c:pt>
                <c:pt idx="1">
                  <c:v>3.1666666666666665</c:v>
                </c:pt>
                <c:pt idx="2">
                  <c:v>2.2000000000000002</c:v>
                </c:pt>
                <c:pt idx="3">
                  <c:v>1.4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A-4D98-A338-90BF60844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944191"/>
        <c:axId val="2042924991"/>
      </c:barChart>
      <c:catAx>
        <c:axId val="204294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42924991"/>
        <c:crosses val="autoZero"/>
        <c:auto val="1"/>
        <c:lblAlgn val="ctr"/>
        <c:lblOffset val="100"/>
        <c:noMultiLvlLbl val="0"/>
      </c:catAx>
      <c:valAx>
        <c:axId val="2042924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4294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[ECommerce_Logistics_Performance_Analysis.xlsx]Pivot_Tables!PivotTable1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tr-TR" sz="1400" b="1">
                <a:latin typeface="Arial" panose="020B0604020202020204" pitchFamily="34" charset="0"/>
                <a:cs typeface="Arial" panose="020B0604020202020204" pitchFamily="34" charset="0"/>
              </a:rPr>
              <a:t>Country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Toplam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Pivot_Tables!$A$2:$A$6</c:f>
              <c:strCache>
                <c:ptCount val="4"/>
                <c:pt idx="0">
                  <c:v>Almanya</c:v>
                </c:pt>
                <c:pt idx="1">
                  <c:v>Fransa</c:v>
                </c:pt>
                <c:pt idx="2">
                  <c:v>Ingiltere</c:v>
                </c:pt>
                <c:pt idx="3">
                  <c:v>Turkiye</c:v>
                </c:pt>
              </c:strCache>
            </c:strRef>
          </c:cat>
          <c:val>
            <c:numRef>
              <c:f>Pivot_Tables!$B$2:$B$6</c:f>
              <c:numCache>
                <c:formatCode>"₺"#,##0</c:formatCode>
                <c:ptCount val="4"/>
                <c:pt idx="0">
                  <c:v>1720</c:v>
                </c:pt>
                <c:pt idx="1">
                  <c:v>1460</c:v>
                </c:pt>
                <c:pt idx="2">
                  <c:v>1430</c:v>
                </c:pt>
                <c:pt idx="3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C-409D-9285-5E7AAF144910}"/>
            </c:ext>
          </c:extLst>
        </c:ser>
        <c:ser>
          <c:idx val="1"/>
          <c:order val="1"/>
          <c:tx>
            <c:strRef>
              <c:f>Pivot_Tables!$C$1</c:f>
              <c:strCache>
                <c:ptCount val="1"/>
                <c:pt idx="0">
                  <c:v>Toplam Net_Profit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Pivot_Tables!$A$2:$A$6</c:f>
              <c:strCache>
                <c:ptCount val="4"/>
                <c:pt idx="0">
                  <c:v>Almanya</c:v>
                </c:pt>
                <c:pt idx="1">
                  <c:v>Fransa</c:v>
                </c:pt>
                <c:pt idx="2">
                  <c:v>Ingiltere</c:v>
                </c:pt>
                <c:pt idx="3">
                  <c:v>Turkiye</c:v>
                </c:pt>
              </c:strCache>
            </c:strRef>
          </c:cat>
          <c:val>
            <c:numRef>
              <c:f>Pivot_Tables!$C$2:$C$6</c:f>
              <c:numCache>
                <c:formatCode>"₺"#,##0</c:formatCode>
                <c:ptCount val="4"/>
                <c:pt idx="0">
                  <c:v>930</c:v>
                </c:pt>
                <c:pt idx="1">
                  <c:v>820</c:v>
                </c:pt>
                <c:pt idx="2">
                  <c:v>785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C-409D-9285-5E7AAF144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790063"/>
        <c:axId val="1873802543"/>
      </c:barChart>
      <c:catAx>
        <c:axId val="187379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3802543"/>
        <c:crosses val="autoZero"/>
        <c:auto val="1"/>
        <c:lblAlgn val="ctr"/>
        <c:lblOffset val="100"/>
        <c:noMultiLvlLbl val="0"/>
      </c:catAx>
      <c:valAx>
        <c:axId val="1873802543"/>
        <c:scaling>
          <c:orientation val="minMax"/>
        </c:scaling>
        <c:delete val="0"/>
        <c:axPos val="l"/>
        <c:numFmt formatCode="&quot;₺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7379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144780</xdr:rowOff>
    </xdr:from>
    <xdr:to>
      <xdr:col>3</xdr:col>
      <xdr:colOff>22860</xdr:colOff>
      <xdr:row>19</xdr:row>
      <xdr:rowOff>167640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57B608D-44DE-3C3F-1E2A-1FB71F13F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</xdr:row>
      <xdr:rowOff>175260</xdr:rowOff>
    </xdr:from>
    <xdr:to>
      <xdr:col>9</xdr:col>
      <xdr:colOff>137160</xdr:colOff>
      <xdr:row>18</xdr:row>
      <xdr:rowOff>68580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9C55ADB1-0E36-F438-C91B-0E0D7535B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601980</xdr:colOff>
      <xdr:row>10</xdr:row>
      <xdr:rowOff>0</xdr:rowOff>
    </xdr:from>
    <xdr:to>
      <xdr:col>16</xdr:col>
      <xdr:colOff>30480</xdr:colOff>
      <xdr:row>24</xdr:row>
      <xdr:rowOff>30480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E8C53C7E-DBFF-A28E-8658-0C200EF50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598712</xdr:colOff>
      <xdr:row>29</xdr:row>
      <xdr:rowOff>174171</xdr:rowOff>
    </xdr:from>
    <xdr:to>
      <xdr:col>7</xdr:col>
      <xdr:colOff>609599</xdr:colOff>
      <xdr:row>43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6689CD90-8A8E-4106-9213-3E102A18C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10886</xdr:colOff>
      <xdr:row>15</xdr:row>
      <xdr:rowOff>10887</xdr:rowOff>
    </xdr:from>
    <xdr:to>
      <xdr:col>16</xdr:col>
      <xdr:colOff>0</xdr:colOff>
      <xdr:row>43</xdr:row>
      <xdr:rowOff>21773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DAAAEA07-D8FC-4E3A-8CCB-D395B68E7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564969</xdr:colOff>
      <xdr:row>15</xdr:row>
      <xdr:rowOff>320</xdr:rowOff>
    </xdr:from>
    <xdr:to>
      <xdr:col>8</xdr:col>
      <xdr:colOff>6627</xdr:colOff>
      <xdr:row>28</xdr:row>
      <xdr:rowOff>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88016113-2D22-A092-C79C-669120437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15239</xdr:colOff>
      <xdr:row>21</xdr:row>
      <xdr:rowOff>181792</xdr:rowOff>
    </xdr:from>
    <xdr:to>
      <xdr:col>20</xdr:col>
      <xdr:colOff>15239</xdr:colOff>
      <xdr:row>28</xdr:row>
      <xdr:rowOff>130629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y">
              <a:extLst>
                <a:ext uri="{FF2B5EF4-FFF2-40B4-BE49-F238E27FC236}">
                  <a16:creationId xmlns:a16="http://schemas.microsoft.com/office/drawing/2014/main" id="{4F2041C7-FEBC-23E2-3572-B5C38F8692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78439" y="3964083"/>
              <a:ext cx="1828800" cy="12096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16328</xdr:colOff>
      <xdr:row>15</xdr:row>
      <xdr:rowOff>30479</xdr:rowOff>
    </xdr:from>
    <xdr:to>
      <xdr:col>20</xdr:col>
      <xdr:colOff>16328</xdr:colOff>
      <xdr:row>20</xdr:row>
      <xdr:rowOff>119742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turn_Status">
              <a:extLst>
                <a:ext uri="{FF2B5EF4-FFF2-40B4-BE49-F238E27FC236}">
                  <a16:creationId xmlns:a16="http://schemas.microsoft.com/office/drawing/2014/main" id="{99A77F92-1185-AA9A-6E60-3B71D9D232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urn_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79528" y="2732115"/>
              <a:ext cx="1828800" cy="9898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r Barış Ergin" refreshedDate="46177.851180092592" createdVersion="8" refreshedVersion="8" minRefreshableVersion="3" recordCount="20" xr:uid="{1E02B9B7-3765-42A9-8F74-91DD2F1632F4}">
  <cacheSource type="worksheet">
    <worksheetSource name="Tablo1"/>
  </cacheSource>
  <cacheFields count="18">
    <cacheField name="Order_ID" numFmtId="0">
      <sharedItems/>
    </cacheField>
    <cacheField name="Customer_ID" numFmtId="0">
      <sharedItems/>
    </cacheField>
    <cacheField name="Order_Date" numFmtId="14">
      <sharedItems containsSemiMixedTypes="0" containsNonDate="0" containsDate="1" containsString="0" minDate="2026-01-05T00:00:00" maxDate="2026-03-23T00:00:00" count="20">
        <d v="2026-01-05T00:00:00"/>
        <d v="2026-01-06T00:00:00"/>
        <d v="2026-01-08T00:00:00"/>
        <d v="2026-01-12T00:00:00"/>
        <d v="2026-01-15T00:00:00"/>
        <d v="2026-01-20T00:00:00"/>
        <d v="2026-01-22T00:00:00"/>
        <d v="2026-01-25T00:00:00"/>
        <d v="2026-02-02T00:00:00"/>
        <d v="2026-02-05T00:00:00"/>
        <d v="2026-02-10T00:00:00"/>
        <d v="2026-02-15T00:00:00"/>
        <d v="2026-02-18T00:00:00"/>
        <d v="2026-02-22T00:00:00"/>
        <d v="2026-02-25T00:00:00"/>
        <d v="2026-03-01T00:00:00"/>
        <d v="2026-03-04T00:00:00"/>
        <d v="2026-03-10T00:00:00"/>
        <d v="2026-03-15T00:00:00"/>
        <d v="2026-03-22T00:00:00"/>
      </sharedItems>
      <fieldGroup par="17"/>
    </cacheField>
    <cacheField name="Cargo_Date" numFmtId="14">
      <sharedItems containsSemiMixedTypes="0" containsNonDate="0" containsDate="1" containsString="0" minDate="2026-01-07T00:00:00" maxDate="2026-03-26T00:00:00"/>
    </cacheField>
    <cacheField name="Category" numFmtId="0">
      <sharedItems count="3">
        <s v="Elektronik"/>
        <s v="Ev &amp; Yasam"/>
        <s v="Tekstil"/>
      </sharedItems>
    </cacheField>
    <cacheField name="Product_Name" numFmtId="0">
      <sharedItems/>
    </cacheField>
    <cacheField name="Quantity" numFmtId="1">
      <sharedItems containsSemiMixedTypes="0" containsString="0" containsNumber="1" containsInteger="1" minValue="1" maxValue="5"/>
    </cacheField>
    <cacheField name="Unit_Price" numFmtId="167">
      <sharedItems containsSemiMixedTypes="0" containsString="0" containsNumber="1" containsInteger="1" minValue="60" maxValue="300"/>
    </cacheField>
    <cacheField name="Cost" numFmtId="167">
      <sharedItems containsSemiMixedTypes="0" containsString="0" containsNumber="1" containsInteger="1" minValue="25" maxValue="150"/>
    </cacheField>
    <cacheField name="Country" numFmtId="0">
      <sharedItems count="4">
        <s v="Almanya"/>
        <s v="Fransa"/>
        <s v="Turkiye"/>
        <s v="Ingiltere"/>
      </sharedItems>
    </cacheField>
    <cacheField name="Cargo_Company" numFmtId="0">
      <sharedItems count="5">
        <s v="DHL"/>
        <s v="FedEx"/>
        <s v="Aras Kargo"/>
        <s v="UPS"/>
        <s v="Yurtiçi Kargo"/>
      </sharedItems>
    </cacheField>
    <cacheField name="Return_Status" numFmtId="0">
      <sharedItems count="2">
        <s v="Hayir"/>
        <s v="Evet"/>
      </sharedItems>
    </cacheField>
    <cacheField name="Revenue" numFmtId="167">
      <sharedItems containsSemiMixedTypes="0" containsString="0" containsNumber="1" containsInteger="1" minValue="80" maxValue="600"/>
    </cacheField>
    <cacheField name="Total_Cost" numFmtId="167">
      <sharedItems containsSemiMixedTypes="0" containsString="0" containsNumber="1" containsInteger="1" minValue="30" maxValue="300"/>
    </cacheField>
    <cacheField name="Net_Profit" numFmtId="167">
      <sharedItems containsSemiMixedTypes="0" containsString="0" containsNumber="1" containsInteger="1" minValue="50" maxValue="300"/>
    </cacheField>
    <cacheField name="Shipping_Lead_Time" numFmtId="0">
      <sharedItems containsSemiMixedTypes="0" containsString="0" containsNumber="1" containsInteger="1" minValue="1" maxValue="5"/>
    </cacheField>
    <cacheField name="Gün (Order_Date)" numFmtId="0" databaseField="0">
      <fieldGroup base="2">
        <rangePr groupBy="days" startDate="2026-01-05T00:00:00" endDate="2026-03-23T00:00:00"/>
        <groupItems count="368">
          <s v="&lt;5.01.2026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3.03.2026"/>
        </groupItems>
      </fieldGroup>
    </cacheField>
    <cacheField name="Ay (Order_Date)" numFmtId="0" databaseField="0">
      <fieldGroup base="2">
        <rangePr groupBy="months" startDate="2026-01-05T00:00:00" endDate="2026-03-23T00:00:00"/>
        <groupItems count="14">
          <s v="&lt;5.01.2026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3.03.2026"/>
        </groupItems>
      </fieldGroup>
    </cacheField>
  </cacheFields>
  <extLst>
    <ext xmlns:x14="http://schemas.microsoft.com/office/spreadsheetml/2009/9/main" uri="{725AE2AE-9491-48be-B2B4-4EB974FC3084}">
      <x14:pivotCacheDefinition pivotCacheId="10824659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001"/>
    <s v="CUST101"/>
    <x v="0"/>
    <d v="2026-01-07T00:00:00"/>
    <x v="0"/>
    <s v="Kablosuz Kulaklik"/>
    <n v="2"/>
    <n v="120"/>
    <n v="50"/>
    <x v="0"/>
    <x v="0"/>
    <x v="0"/>
    <n v="240"/>
    <n v="100"/>
    <n v="140"/>
    <n v="2"/>
  </r>
  <r>
    <s v="ORD002"/>
    <s v="CUST102"/>
    <x v="1"/>
    <d v="2026-01-10T00:00:00"/>
    <x v="1"/>
    <s v="Kahve Makinesi"/>
    <n v="1"/>
    <n v="250"/>
    <n v="110"/>
    <x v="1"/>
    <x v="1"/>
    <x v="0"/>
    <n v="250"/>
    <n v="110"/>
    <n v="140"/>
    <n v="4"/>
  </r>
  <r>
    <s v="ORD003"/>
    <s v="CUST103"/>
    <x v="2"/>
    <d v="2026-01-09T00:00:00"/>
    <x v="2"/>
    <s v="Spor Ayakkabi"/>
    <n v="1"/>
    <n v="80"/>
    <n v="30"/>
    <x v="2"/>
    <x v="2"/>
    <x v="1"/>
    <n v="80"/>
    <n v="30"/>
    <n v="50"/>
    <n v="1"/>
  </r>
  <r>
    <s v="ORD004"/>
    <s v="CUST104"/>
    <x v="3"/>
    <d v="2026-01-15T00:00:00"/>
    <x v="0"/>
    <s v="Akilli Saat"/>
    <n v="3"/>
    <n v="150"/>
    <n v="70"/>
    <x v="0"/>
    <x v="0"/>
    <x v="0"/>
    <n v="450"/>
    <n v="210"/>
    <n v="240"/>
    <n v="3"/>
  </r>
  <r>
    <s v="ORD005"/>
    <s v="CUST105"/>
    <x v="4"/>
    <d v="2026-01-16T00:00:00"/>
    <x v="1"/>
    <s v="Calisma Masasi"/>
    <n v="1"/>
    <n v="300"/>
    <n v="150"/>
    <x v="3"/>
    <x v="3"/>
    <x v="0"/>
    <n v="300"/>
    <n v="150"/>
    <n v="150"/>
    <n v="1"/>
  </r>
  <r>
    <s v="ORD006"/>
    <s v="CUST101"/>
    <x v="5"/>
    <d v="2026-01-25T00:00:00"/>
    <x v="0"/>
    <s v="Kablosuz Kulaklik"/>
    <n v="1"/>
    <n v="120"/>
    <n v="50"/>
    <x v="0"/>
    <x v="0"/>
    <x v="0"/>
    <n v="120"/>
    <n v="50"/>
    <n v="70"/>
    <n v="5"/>
  </r>
  <r>
    <s v="ORD007"/>
    <s v="CUST106"/>
    <x v="6"/>
    <d v="2026-01-23T00:00:00"/>
    <x v="2"/>
    <s v="Kislik Mont"/>
    <n v="2"/>
    <n v="200"/>
    <n v="90"/>
    <x v="1"/>
    <x v="1"/>
    <x v="0"/>
    <n v="400"/>
    <n v="180"/>
    <n v="220"/>
    <n v="1"/>
  </r>
  <r>
    <s v="ORD008"/>
    <s v="CUST107"/>
    <x v="7"/>
    <d v="2026-01-29T00:00:00"/>
    <x v="1"/>
    <s v="Kitaplik"/>
    <n v="1"/>
    <n v="180"/>
    <n v="80"/>
    <x v="2"/>
    <x v="4"/>
    <x v="0"/>
    <n v="180"/>
    <n v="80"/>
    <n v="100"/>
    <n v="4"/>
  </r>
  <r>
    <s v="ORD009"/>
    <s v="CUST108"/>
    <x v="8"/>
    <d v="2026-02-03T00:00:00"/>
    <x v="0"/>
    <s v="Oyuncu Mouse"/>
    <n v="5"/>
    <n v="60"/>
    <n v="25"/>
    <x v="3"/>
    <x v="3"/>
    <x v="1"/>
    <n v="300"/>
    <n v="125"/>
    <n v="175"/>
    <n v="1"/>
  </r>
  <r>
    <s v="ORD010"/>
    <s v="CUST109"/>
    <x v="9"/>
    <d v="2026-02-08T00:00:00"/>
    <x v="2"/>
    <s v="Spor Ayakkabi"/>
    <n v="2"/>
    <n v="80"/>
    <n v="30"/>
    <x v="0"/>
    <x v="0"/>
    <x v="0"/>
    <n v="160"/>
    <n v="60"/>
    <n v="100"/>
    <n v="3"/>
  </r>
  <r>
    <s v="ORD011"/>
    <s v="CUST110"/>
    <x v="10"/>
    <d v="2026-02-11T00:00:00"/>
    <x v="1"/>
    <s v="Kahve Makinesi"/>
    <n v="1"/>
    <n v="250"/>
    <n v="110"/>
    <x v="1"/>
    <x v="1"/>
    <x v="0"/>
    <n v="250"/>
    <n v="110"/>
    <n v="140"/>
    <n v="1"/>
  </r>
  <r>
    <s v="ORD012"/>
    <s v="CUST103"/>
    <x v="11"/>
    <d v="2026-02-20T00:00:00"/>
    <x v="2"/>
    <s v="Kislik Mont"/>
    <n v="1"/>
    <n v="200"/>
    <n v="90"/>
    <x v="2"/>
    <x v="2"/>
    <x v="0"/>
    <n v="200"/>
    <n v="90"/>
    <n v="110"/>
    <n v="5"/>
  </r>
  <r>
    <s v="ORD013"/>
    <s v="CUST111"/>
    <x v="12"/>
    <d v="2026-02-19T00:00:00"/>
    <x v="0"/>
    <s v="Akilli Saat"/>
    <n v="1"/>
    <n v="150"/>
    <n v="70"/>
    <x v="3"/>
    <x v="3"/>
    <x v="0"/>
    <n v="150"/>
    <n v="70"/>
    <n v="80"/>
    <n v="1"/>
  </r>
  <r>
    <s v="ORD014"/>
    <s v="CUST112"/>
    <x v="13"/>
    <d v="2026-02-24T00:00:00"/>
    <x v="1"/>
    <s v="Calisma Masasi"/>
    <n v="2"/>
    <n v="300"/>
    <n v="150"/>
    <x v="0"/>
    <x v="0"/>
    <x v="0"/>
    <n v="600"/>
    <n v="300"/>
    <n v="300"/>
    <n v="2"/>
  </r>
  <r>
    <s v="ORD015"/>
    <s v="CUST105"/>
    <x v="14"/>
    <d v="2026-02-28T00:00:00"/>
    <x v="1"/>
    <s v="Kitaplik"/>
    <n v="1"/>
    <n v="180"/>
    <n v="80"/>
    <x v="3"/>
    <x v="3"/>
    <x v="1"/>
    <n v="180"/>
    <n v="80"/>
    <n v="100"/>
    <n v="3"/>
  </r>
  <r>
    <s v="ORD016"/>
    <s v="CUST113"/>
    <x v="15"/>
    <d v="2026-03-03T00:00:00"/>
    <x v="0"/>
    <s v="Kablosuz Kulaklik"/>
    <n v="3"/>
    <n v="120"/>
    <n v="50"/>
    <x v="1"/>
    <x v="1"/>
    <x v="0"/>
    <n v="360"/>
    <n v="150"/>
    <n v="210"/>
    <n v="2"/>
  </r>
  <r>
    <s v="ORD017"/>
    <s v="CUST114"/>
    <x v="16"/>
    <d v="2026-03-05T00:00:00"/>
    <x v="2"/>
    <s v="Spor Ayakkabi"/>
    <n v="2"/>
    <n v="80"/>
    <n v="30"/>
    <x v="2"/>
    <x v="4"/>
    <x v="0"/>
    <n v="160"/>
    <n v="60"/>
    <n v="100"/>
    <n v="1"/>
  </r>
  <r>
    <s v="ORD018"/>
    <s v="CUST115"/>
    <x v="17"/>
    <d v="2026-03-14T00:00:00"/>
    <x v="0"/>
    <s v="Akilli Saat"/>
    <n v="1"/>
    <n v="150"/>
    <n v="70"/>
    <x v="0"/>
    <x v="0"/>
    <x v="0"/>
    <n v="150"/>
    <n v="70"/>
    <n v="80"/>
    <n v="4"/>
  </r>
  <r>
    <s v="ORD019"/>
    <s v="CUST116"/>
    <x v="18"/>
    <d v="2026-03-16T00:00:00"/>
    <x v="1"/>
    <s v="Kahve Makinesi"/>
    <n v="2"/>
    <n v="250"/>
    <n v="110"/>
    <x v="3"/>
    <x v="3"/>
    <x v="0"/>
    <n v="500"/>
    <n v="220"/>
    <n v="280"/>
    <n v="1"/>
  </r>
  <r>
    <s v="ORD020"/>
    <s v="CUST117"/>
    <x v="19"/>
    <d v="2026-03-25T00:00:00"/>
    <x v="2"/>
    <s v="Kislik Mont"/>
    <n v="1"/>
    <n v="200"/>
    <n v="90"/>
    <x v="1"/>
    <x v="1"/>
    <x v="0"/>
    <n v="200"/>
    <n v="90"/>
    <n v="11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34343-FCF0-41EB-A026-12D76AC17283}" name="PivotTable3" cacheId="9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M3:N9" firstHeaderRow="1" firstDataRow="1" firstDataCol="1" rowPageCount="1" colPageCount="1"/>
  <pivotFields count="18">
    <pivotField showAll="0"/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umFmtId="14" showAll="0"/>
    <pivotField showAll="0"/>
    <pivotField showAll="0"/>
    <pivotField numFmtId="1" showAll="0"/>
    <pivotField numFmtId="167" showAll="0"/>
    <pivotField numFmtId="167"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axis="axisPage" showAll="0">
      <items count="3">
        <item x="1"/>
        <item x="0"/>
        <item t="default"/>
      </items>
    </pivotField>
    <pivotField numFmtId="167" showAll="0"/>
    <pivotField numFmtId="167" showAll="0"/>
    <pivotField numFmtId="167"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1" hier="-1"/>
  </pageFields>
  <dataFields count="1">
    <dataField name="Ortalama Shipping_Lead_Time" fld="15" subtotal="average" baseField="0" baseItem="0"/>
  </dataFields>
  <formats count="25"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0" type="button" dataOnly="0" labelOnly="1" outline="0" axis="axisRow" fieldPosition="0"/>
    </format>
    <format dxfId="118">
      <pivotArea dataOnly="0" labelOnly="1" fieldPosition="0">
        <references count="1">
          <reference field="10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0" type="button" dataOnly="0" labelOnly="1" outline="0" axis="axisRow" fieldPosition="0"/>
    </format>
    <format dxfId="112">
      <pivotArea dataOnly="0" labelOnly="1" fieldPosition="0">
        <references count="1">
          <reference field="10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0" type="button" dataOnly="0" labelOnly="1" outline="0" axis="axisRow" fieldPosition="0"/>
    </format>
    <format dxfId="106">
      <pivotArea dataOnly="0" labelOnly="1" fieldPosition="0">
        <references count="1">
          <reference field="10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0" type="button" dataOnly="0" labelOnly="1" outline="0" axis="axisRow" fieldPosition="0"/>
    </format>
    <format dxfId="100">
      <pivotArea dataOnly="0" labelOnly="1" fieldPosition="0">
        <references count="1">
          <reference field="10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1">
      <pivotArea collapsedLevelsAreSubtotals="1" fieldPosition="0">
        <references count="1">
          <reference field="10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1B468-3577-4BB7-A1F4-6DAF84C26380}" name="PivotTable2" cacheId="9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G1:I5" firstHeaderRow="0" firstDataRow="1" firstDataCol="1"/>
  <pivotFields count="18">
    <pivotField dataField="1" showAll="0"/>
    <pivotField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umFmtId="14" showAll="0"/>
    <pivotField showAll="0"/>
    <pivotField showAll="0"/>
    <pivotField numFmtId="1" showAll="0"/>
    <pivotField numFmtId="167" showAll="0"/>
    <pivotField numFmtId="167" showAll="0"/>
    <pivotField showAll="0"/>
    <pivotField showAll="0"/>
    <pivotField showAll="0">
      <items count="3">
        <item x="1"/>
        <item x="0"/>
        <item t="default"/>
      </items>
    </pivotField>
    <pivotField dataField="1" numFmtId="167" showAll="0"/>
    <pivotField numFmtId="167" showAll="0"/>
    <pivotField numFmtId="167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2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Revenue" fld="12" baseField="0" baseItem="0" numFmtId="167"/>
    <dataField name="Say Order_ID" fld="0" subtotal="count" baseField="0" baseItem="0"/>
  </dataFields>
  <formats count="18"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17" type="button" dataOnly="0" labelOnly="1" outline="0" axis="axisRow" fieldPosition="0"/>
    </format>
    <format dxfId="136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7" type="button" dataOnly="0" labelOnly="1" outline="0" axis="axisRow" fieldPosition="0"/>
    </format>
    <format dxfId="130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7" type="button" dataOnly="0" labelOnly="1" outline="0" axis="axisRow" fieldPosition="0"/>
    </format>
    <format dxfId="124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4302A-1347-4068-9EE6-9A942E0CD45A}" name="PivotTable1" cacheId="9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1:C6" firstHeaderRow="0" firstDataRow="1" firstDataCol="1"/>
  <pivotFields count="18">
    <pivotField showAll="0"/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showAll="0"/>
    <pivotField numFmtId="1" showAll="0"/>
    <pivotField numFmtId="167" showAll="0"/>
    <pivotField numFmtId="167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numFmtId="167" showAll="0"/>
    <pivotField numFmtId="167" showAll="0"/>
    <pivotField dataField="1" numFmtId="167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Revenue" fld="12" baseField="0" baseItem="0" numFmtId="167"/>
    <dataField name="Toplam Net_Profit" fld="14" baseField="0" baseItem="0" numFmtId="167"/>
  </dataFields>
  <formats count="24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9" type="button" dataOnly="0" labelOnly="1" outline="0" axis="axisRow" fieldPosition="0"/>
    </format>
    <format dxfId="154">
      <pivotArea dataOnly="0" labelOnly="1" fieldPosition="0">
        <references count="1">
          <reference field="9" count="0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9" type="button" dataOnly="0" labelOnly="1" outline="0" axis="axisRow" fieldPosition="0"/>
    </format>
    <format dxfId="148">
      <pivotArea dataOnly="0" labelOnly="1" fieldPosition="0">
        <references count="1">
          <reference field="9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9" type="button" dataOnly="0" labelOnly="1" outline="0" axis="axisRow" fieldPosition="0"/>
    </format>
    <format dxfId="142">
      <pivotArea dataOnly="0" labelOnly="1" fieldPosition="0">
        <references count="1">
          <reference field="9" count="0"/>
        </references>
      </pivotArea>
    </format>
    <format dxfId="141">
      <pivotArea dataOnly="0" labelOnly="1" grandRow="1" outline="0" fieldPosition="0"/>
    </format>
    <format dxfId="1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9" type="button" dataOnly="0" labelOnly="1" outline="0" axis="axisRow" fieldPosition="0"/>
    </format>
    <format dxfId="94">
      <pivotArea dataOnly="0" labelOnly="1" fieldPosition="0">
        <references count="1">
          <reference field="9" count="0"/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Category" xr10:uid="{E1E2B4DD-A109-4A87-9589-28DC730B64F7}" sourceName="Category">
  <pivotTables>
    <pivotTable tabId="2" name="PivotTable1"/>
  </pivotTables>
  <data>
    <tabular pivotCacheId="1082465939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Return_Status" xr10:uid="{926048B1-6472-4754-92CE-1B1E8C3B5B23}" sourceName="Return_Status">
  <pivotTables>
    <pivotTable tabId="2" name="PivotTable1"/>
    <pivotTable tabId="2" name="PivotTable2"/>
    <pivotTable tabId="2" name="PivotTable3"/>
  </pivotTables>
  <data>
    <tabular pivotCacheId="1082465939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E55C794F-8B38-4C78-8AF8-B153FA1F2DBA}" cache="Dilimleyici_Category" caption="Category" rowHeight="234950"/>
  <slicer name="Return_Status" xr10:uid="{F2247A2B-EF7A-48E1-B65E-D6EA42D18638}" cache="Dilimleyici_Return_Status" caption="Return_Status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45076-58FE-4FDF-9F1A-B1A02825954D}" name="Tablo1" displayName="Tablo1" ref="A1:P21" totalsRowShown="0" headerRowDxfId="158" dataDxfId="159" headerRowBorderDxfId="177" tableBorderDxfId="178" totalsRowBorderDxfId="176">
  <autoFilter ref="A1:P21" xr:uid="{40C45076-58FE-4FDF-9F1A-B1A02825954D}"/>
  <tableColumns count="16">
    <tableColumn id="1" xr3:uid="{DA601B2C-7041-4780-BC2C-1DF62B594E21}" name="Order_ID" dataDxfId="175"/>
    <tableColumn id="2" xr3:uid="{5691D322-FD1F-4EB5-8860-5E4D9CB21D64}" name="Customer_ID" dataDxfId="174"/>
    <tableColumn id="3" xr3:uid="{80E1D65F-9F52-43E4-8D67-68480E7798B4}" name="Order_Date" dataDxfId="173"/>
    <tableColumn id="4" xr3:uid="{B387A606-FEA3-4530-BF9D-6FAA70A7E666}" name="Cargo_Date" dataDxfId="172"/>
    <tableColumn id="5" xr3:uid="{1F4526A8-B03A-430D-AAA6-A60C7CDA7EF9}" name="Category" dataDxfId="171"/>
    <tableColumn id="6" xr3:uid="{FFDA0662-41AD-4B25-9F5F-98D5D69E1BD3}" name="Product_Name" dataDxfId="170"/>
    <tableColumn id="7" xr3:uid="{F7355C89-AC47-4EB3-BEFB-56B8C29C44B3}" name="Quantity" dataDxfId="169"/>
    <tableColumn id="8" xr3:uid="{8247663A-F81E-4C4A-B407-D7D160EB1EE7}" name="Unit_Price" dataDxfId="168"/>
    <tableColumn id="9" xr3:uid="{79C30613-465B-4403-B247-942853087972}" name="Cost" dataDxfId="167"/>
    <tableColumn id="10" xr3:uid="{60D51AB4-7215-4FB9-86A0-4BDAC10160D5}" name="Country" dataDxfId="166"/>
    <tableColumn id="11" xr3:uid="{185A0028-371D-4602-BD68-54CE82D258F5}" name="Cargo_Company" dataDxfId="165"/>
    <tableColumn id="12" xr3:uid="{D8C7F957-36E4-440F-BA8F-9663EBDCA46D}" name="Return_Status" dataDxfId="164"/>
    <tableColumn id="13" xr3:uid="{D520FC8C-CC26-4A0C-B308-1E9753329FC0}" name="Revenue" dataDxfId="163">
      <calculatedColumnFormula>G2*H2</calculatedColumnFormula>
    </tableColumn>
    <tableColumn id="14" xr3:uid="{A6FBD34E-FC9B-4A0D-8780-130AC33F2FA1}" name="Total_Cost" dataDxfId="162">
      <calculatedColumnFormula>G2*I2</calculatedColumnFormula>
    </tableColumn>
    <tableColumn id="15" xr3:uid="{527BF849-992F-4BD5-A3D6-4D31035B3260}" name="Net_Profit" dataDxfId="161">
      <calculatedColumnFormula>M2-N2</calculatedColumnFormula>
    </tableColumn>
    <tableColumn id="16" xr3:uid="{24FA3CE0-0B58-4142-846A-471F00F9641A}" name="Shipping_Lead_Time" dataDxfId="160">
      <calculatedColumnFormula>D2-C2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4E0E-B603-40B4-8815-3004CCF45571}">
  <dimension ref="A1:P21"/>
  <sheetViews>
    <sheetView topLeftCell="E1" workbookViewId="0">
      <selection activeCell="P1" sqref="P1"/>
    </sheetView>
  </sheetViews>
  <sheetFormatPr defaultRowHeight="14.4" x14ac:dyDescent="0.3"/>
  <cols>
    <col min="1" max="1" width="13.44140625" customWidth="1"/>
    <col min="2" max="2" width="19.109375" bestFit="1" customWidth="1"/>
    <col min="3" max="3" width="17.33203125" style="1" customWidth="1"/>
    <col min="4" max="4" width="16.44140625" customWidth="1"/>
    <col min="5" max="5" width="19.88671875" customWidth="1"/>
    <col min="6" max="6" width="16.6640625" bestFit="1" customWidth="1"/>
    <col min="7" max="7" width="9.44140625" style="4" customWidth="1"/>
    <col min="8" max="8" width="14.6640625" style="6" customWidth="1"/>
    <col min="9" max="9" width="10.33203125" style="6" customWidth="1"/>
    <col min="10" max="10" width="11.88671875" customWidth="1"/>
    <col min="11" max="11" width="23.109375" bestFit="1" customWidth="1"/>
    <col min="12" max="12" width="16.77734375" customWidth="1"/>
    <col min="13" max="13" width="14.5546875" bestFit="1" customWidth="1"/>
    <col min="14" max="14" width="19.33203125" customWidth="1"/>
    <col min="15" max="15" width="11.5546875" customWidth="1"/>
    <col min="16" max="16" width="27.6640625" bestFit="1" customWidth="1"/>
  </cols>
  <sheetData>
    <row r="1" spans="1:16" s="3" customFormat="1" ht="15.6" x14ac:dyDescent="0.3">
      <c r="A1" s="13" t="s">
        <v>63</v>
      </c>
      <c r="B1" s="14" t="s">
        <v>64</v>
      </c>
      <c r="C1" s="15" t="s">
        <v>65</v>
      </c>
      <c r="D1" s="14" t="s">
        <v>66</v>
      </c>
      <c r="E1" s="14" t="s">
        <v>67</v>
      </c>
      <c r="F1" s="14" t="s">
        <v>68</v>
      </c>
      <c r="G1" s="16" t="s">
        <v>69</v>
      </c>
      <c r="H1" s="17" t="s">
        <v>70</v>
      </c>
      <c r="I1" s="17" t="s">
        <v>71</v>
      </c>
      <c r="J1" s="14" t="s">
        <v>72</v>
      </c>
      <c r="K1" s="14" t="s">
        <v>73</v>
      </c>
      <c r="L1" s="14" t="s">
        <v>74</v>
      </c>
      <c r="M1" s="14" t="s">
        <v>59</v>
      </c>
      <c r="N1" s="14" t="s">
        <v>60</v>
      </c>
      <c r="O1" s="14" t="s">
        <v>61</v>
      </c>
      <c r="P1" s="18" t="s">
        <v>62</v>
      </c>
    </row>
    <row r="2" spans="1:16" x14ac:dyDescent="0.3">
      <c r="A2" s="11" t="s">
        <v>0</v>
      </c>
      <c r="B2" s="7" t="s">
        <v>1</v>
      </c>
      <c r="C2" s="8">
        <v>46027</v>
      </c>
      <c r="D2" s="8">
        <v>46029</v>
      </c>
      <c r="E2" s="7" t="s">
        <v>2</v>
      </c>
      <c r="F2" s="7" t="s">
        <v>3</v>
      </c>
      <c r="G2" s="9">
        <v>2</v>
      </c>
      <c r="H2" s="10">
        <v>120</v>
      </c>
      <c r="I2" s="10">
        <v>50</v>
      </c>
      <c r="J2" s="7" t="s">
        <v>4</v>
      </c>
      <c r="K2" s="7" t="s">
        <v>5</v>
      </c>
      <c r="L2" s="7" t="s">
        <v>6</v>
      </c>
      <c r="M2" s="10">
        <f>G2*H2</f>
        <v>240</v>
      </c>
      <c r="N2" s="10">
        <f>G2*I2</f>
        <v>100</v>
      </c>
      <c r="O2" s="10">
        <f>M2-N2</f>
        <v>140</v>
      </c>
      <c r="P2" s="12">
        <f>D2-C2</f>
        <v>2</v>
      </c>
    </row>
    <row r="3" spans="1:16" x14ac:dyDescent="0.3">
      <c r="A3" s="11" t="s">
        <v>7</v>
      </c>
      <c r="B3" s="7" t="s">
        <v>8</v>
      </c>
      <c r="C3" s="8">
        <v>46028</v>
      </c>
      <c r="D3" s="8">
        <v>46032</v>
      </c>
      <c r="E3" s="7" t="s">
        <v>9</v>
      </c>
      <c r="F3" s="7" t="s">
        <v>10</v>
      </c>
      <c r="G3" s="9">
        <v>1</v>
      </c>
      <c r="H3" s="10">
        <v>250</v>
      </c>
      <c r="I3" s="10">
        <v>110</v>
      </c>
      <c r="J3" s="7" t="s">
        <v>11</v>
      </c>
      <c r="K3" s="7" t="s">
        <v>12</v>
      </c>
      <c r="L3" s="7" t="s">
        <v>6</v>
      </c>
      <c r="M3" s="10">
        <f t="shared" ref="M3:M21" si="0">G3*H3</f>
        <v>250</v>
      </c>
      <c r="N3" s="10">
        <f t="shared" ref="N3:N21" si="1">G3*I3</f>
        <v>110</v>
      </c>
      <c r="O3" s="10">
        <f t="shared" ref="O3:O21" si="2">M3-N3</f>
        <v>140</v>
      </c>
      <c r="P3" s="12">
        <f t="shared" ref="P3:P21" si="3">D3-C3</f>
        <v>4</v>
      </c>
    </row>
    <row r="4" spans="1:16" x14ac:dyDescent="0.3">
      <c r="A4" s="11" t="s">
        <v>13</v>
      </c>
      <c r="B4" s="7" t="s">
        <v>14</v>
      </c>
      <c r="C4" s="8">
        <v>46030</v>
      </c>
      <c r="D4" s="8">
        <v>46031</v>
      </c>
      <c r="E4" s="7" t="s">
        <v>15</v>
      </c>
      <c r="F4" s="7" t="s">
        <v>16</v>
      </c>
      <c r="G4" s="9">
        <v>1</v>
      </c>
      <c r="H4" s="10">
        <v>80</v>
      </c>
      <c r="I4" s="10">
        <v>30</v>
      </c>
      <c r="J4" s="7" t="s">
        <v>17</v>
      </c>
      <c r="K4" s="7" t="s">
        <v>18</v>
      </c>
      <c r="L4" s="7" t="s">
        <v>19</v>
      </c>
      <c r="M4" s="10">
        <f t="shared" si="0"/>
        <v>80</v>
      </c>
      <c r="N4" s="10">
        <f t="shared" si="1"/>
        <v>30</v>
      </c>
      <c r="O4" s="10">
        <f t="shared" si="2"/>
        <v>50</v>
      </c>
      <c r="P4" s="12">
        <f t="shared" si="3"/>
        <v>1</v>
      </c>
    </row>
    <row r="5" spans="1:16" x14ac:dyDescent="0.3">
      <c r="A5" s="11" t="s">
        <v>20</v>
      </c>
      <c r="B5" s="7" t="s">
        <v>21</v>
      </c>
      <c r="C5" s="8">
        <v>46034</v>
      </c>
      <c r="D5" s="8">
        <v>46037</v>
      </c>
      <c r="E5" s="7" t="s">
        <v>2</v>
      </c>
      <c r="F5" s="7" t="s">
        <v>22</v>
      </c>
      <c r="G5" s="9">
        <v>3</v>
      </c>
      <c r="H5" s="10">
        <v>150</v>
      </c>
      <c r="I5" s="10">
        <v>70</v>
      </c>
      <c r="J5" s="7" t="s">
        <v>4</v>
      </c>
      <c r="K5" s="7" t="s">
        <v>5</v>
      </c>
      <c r="L5" s="7" t="s">
        <v>6</v>
      </c>
      <c r="M5" s="10">
        <f t="shared" si="0"/>
        <v>450</v>
      </c>
      <c r="N5" s="10">
        <f t="shared" si="1"/>
        <v>210</v>
      </c>
      <c r="O5" s="10">
        <f t="shared" si="2"/>
        <v>240</v>
      </c>
      <c r="P5" s="12">
        <f t="shared" si="3"/>
        <v>3</v>
      </c>
    </row>
    <row r="6" spans="1:16" x14ac:dyDescent="0.3">
      <c r="A6" s="11" t="s">
        <v>23</v>
      </c>
      <c r="B6" s="7" t="s">
        <v>24</v>
      </c>
      <c r="C6" s="8">
        <v>46037</v>
      </c>
      <c r="D6" s="8">
        <v>46038</v>
      </c>
      <c r="E6" s="7" t="s">
        <v>9</v>
      </c>
      <c r="F6" s="7" t="s">
        <v>25</v>
      </c>
      <c r="G6" s="9">
        <v>1</v>
      </c>
      <c r="H6" s="10">
        <v>300</v>
      </c>
      <c r="I6" s="10">
        <v>150</v>
      </c>
      <c r="J6" s="7" t="s">
        <v>26</v>
      </c>
      <c r="K6" s="7" t="s">
        <v>27</v>
      </c>
      <c r="L6" s="7" t="s">
        <v>6</v>
      </c>
      <c r="M6" s="10">
        <f t="shared" si="0"/>
        <v>300</v>
      </c>
      <c r="N6" s="10">
        <f t="shared" si="1"/>
        <v>150</v>
      </c>
      <c r="O6" s="10">
        <f t="shared" si="2"/>
        <v>150</v>
      </c>
      <c r="P6" s="12">
        <f t="shared" si="3"/>
        <v>1</v>
      </c>
    </row>
    <row r="7" spans="1:16" x14ac:dyDescent="0.3">
      <c r="A7" s="11" t="s">
        <v>28</v>
      </c>
      <c r="B7" s="7" t="s">
        <v>1</v>
      </c>
      <c r="C7" s="8">
        <v>46042</v>
      </c>
      <c r="D7" s="8">
        <v>46047</v>
      </c>
      <c r="E7" s="7" t="s">
        <v>2</v>
      </c>
      <c r="F7" s="7" t="s">
        <v>3</v>
      </c>
      <c r="G7" s="9">
        <v>1</v>
      </c>
      <c r="H7" s="10">
        <v>120</v>
      </c>
      <c r="I7" s="10">
        <v>50</v>
      </c>
      <c r="J7" s="7" t="s">
        <v>4</v>
      </c>
      <c r="K7" s="7" t="s">
        <v>5</v>
      </c>
      <c r="L7" s="7" t="s">
        <v>6</v>
      </c>
      <c r="M7" s="10">
        <f t="shared" si="0"/>
        <v>120</v>
      </c>
      <c r="N7" s="10">
        <f t="shared" si="1"/>
        <v>50</v>
      </c>
      <c r="O7" s="10">
        <f t="shared" si="2"/>
        <v>70</v>
      </c>
      <c r="P7" s="12">
        <f t="shared" si="3"/>
        <v>5</v>
      </c>
    </row>
    <row r="8" spans="1:16" x14ac:dyDescent="0.3">
      <c r="A8" s="11" t="s">
        <v>29</v>
      </c>
      <c r="B8" s="7" t="s">
        <v>30</v>
      </c>
      <c r="C8" s="8">
        <v>46044</v>
      </c>
      <c r="D8" s="8">
        <v>46045</v>
      </c>
      <c r="E8" s="7" t="s">
        <v>15</v>
      </c>
      <c r="F8" s="7" t="s">
        <v>31</v>
      </c>
      <c r="G8" s="9">
        <v>2</v>
      </c>
      <c r="H8" s="10">
        <v>200</v>
      </c>
      <c r="I8" s="10">
        <v>90</v>
      </c>
      <c r="J8" s="7" t="s">
        <v>11</v>
      </c>
      <c r="K8" s="7" t="s">
        <v>12</v>
      </c>
      <c r="L8" s="7" t="s">
        <v>6</v>
      </c>
      <c r="M8" s="10">
        <f t="shared" si="0"/>
        <v>400</v>
      </c>
      <c r="N8" s="10">
        <f t="shared" si="1"/>
        <v>180</v>
      </c>
      <c r="O8" s="10">
        <f t="shared" si="2"/>
        <v>220</v>
      </c>
      <c r="P8" s="12">
        <f t="shared" si="3"/>
        <v>1</v>
      </c>
    </row>
    <row r="9" spans="1:16" x14ac:dyDescent="0.3">
      <c r="A9" s="11" t="s">
        <v>32</v>
      </c>
      <c r="B9" s="7" t="s">
        <v>33</v>
      </c>
      <c r="C9" s="8">
        <v>46047</v>
      </c>
      <c r="D9" s="8">
        <v>46051</v>
      </c>
      <c r="E9" s="7" t="s">
        <v>9</v>
      </c>
      <c r="F9" s="7" t="s">
        <v>34</v>
      </c>
      <c r="G9" s="9">
        <v>1</v>
      </c>
      <c r="H9" s="10">
        <v>180</v>
      </c>
      <c r="I9" s="10">
        <v>80</v>
      </c>
      <c r="J9" s="7" t="s">
        <v>17</v>
      </c>
      <c r="K9" s="7" t="s">
        <v>35</v>
      </c>
      <c r="L9" s="7" t="s">
        <v>6</v>
      </c>
      <c r="M9" s="10">
        <f t="shared" si="0"/>
        <v>180</v>
      </c>
      <c r="N9" s="10">
        <f t="shared" si="1"/>
        <v>80</v>
      </c>
      <c r="O9" s="10">
        <f t="shared" si="2"/>
        <v>100</v>
      </c>
      <c r="P9" s="12">
        <f t="shared" si="3"/>
        <v>4</v>
      </c>
    </row>
    <row r="10" spans="1:16" x14ac:dyDescent="0.3">
      <c r="A10" s="11" t="s">
        <v>36</v>
      </c>
      <c r="B10" s="7" t="s">
        <v>37</v>
      </c>
      <c r="C10" s="8">
        <v>46055</v>
      </c>
      <c r="D10" s="8">
        <v>46056</v>
      </c>
      <c r="E10" s="7" t="s">
        <v>2</v>
      </c>
      <c r="F10" s="7" t="s">
        <v>38</v>
      </c>
      <c r="G10" s="9">
        <v>5</v>
      </c>
      <c r="H10" s="10">
        <v>60</v>
      </c>
      <c r="I10" s="10">
        <v>25</v>
      </c>
      <c r="J10" s="7" t="s">
        <v>26</v>
      </c>
      <c r="K10" s="7" t="s">
        <v>27</v>
      </c>
      <c r="L10" s="7" t="s">
        <v>19</v>
      </c>
      <c r="M10" s="10">
        <f t="shared" si="0"/>
        <v>300</v>
      </c>
      <c r="N10" s="10">
        <f t="shared" si="1"/>
        <v>125</v>
      </c>
      <c r="O10" s="10">
        <f t="shared" si="2"/>
        <v>175</v>
      </c>
      <c r="P10" s="12">
        <f t="shared" si="3"/>
        <v>1</v>
      </c>
    </row>
    <row r="11" spans="1:16" x14ac:dyDescent="0.3">
      <c r="A11" s="11" t="s">
        <v>39</v>
      </c>
      <c r="B11" s="7" t="s">
        <v>40</v>
      </c>
      <c r="C11" s="8">
        <v>46058</v>
      </c>
      <c r="D11" s="8">
        <v>46061</v>
      </c>
      <c r="E11" s="7" t="s">
        <v>15</v>
      </c>
      <c r="F11" s="7" t="s">
        <v>16</v>
      </c>
      <c r="G11" s="9">
        <v>2</v>
      </c>
      <c r="H11" s="10">
        <v>80</v>
      </c>
      <c r="I11" s="10">
        <v>30</v>
      </c>
      <c r="J11" s="7" t="s">
        <v>4</v>
      </c>
      <c r="K11" s="7" t="s">
        <v>5</v>
      </c>
      <c r="L11" s="7" t="s">
        <v>6</v>
      </c>
      <c r="M11" s="10">
        <f t="shared" si="0"/>
        <v>160</v>
      </c>
      <c r="N11" s="10">
        <f t="shared" si="1"/>
        <v>60</v>
      </c>
      <c r="O11" s="10">
        <f t="shared" si="2"/>
        <v>100</v>
      </c>
      <c r="P11" s="12">
        <f t="shared" si="3"/>
        <v>3</v>
      </c>
    </row>
    <row r="12" spans="1:16" x14ac:dyDescent="0.3">
      <c r="A12" s="11" t="s">
        <v>41</v>
      </c>
      <c r="B12" s="7" t="s">
        <v>42</v>
      </c>
      <c r="C12" s="8">
        <v>46063</v>
      </c>
      <c r="D12" s="8">
        <v>46064</v>
      </c>
      <c r="E12" s="7" t="s">
        <v>9</v>
      </c>
      <c r="F12" s="7" t="s">
        <v>10</v>
      </c>
      <c r="G12" s="9">
        <v>1</v>
      </c>
      <c r="H12" s="10">
        <v>250</v>
      </c>
      <c r="I12" s="10">
        <v>110</v>
      </c>
      <c r="J12" s="7" t="s">
        <v>11</v>
      </c>
      <c r="K12" s="7" t="s">
        <v>12</v>
      </c>
      <c r="L12" s="7" t="s">
        <v>6</v>
      </c>
      <c r="M12" s="10">
        <f t="shared" si="0"/>
        <v>250</v>
      </c>
      <c r="N12" s="10">
        <f t="shared" si="1"/>
        <v>110</v>
      </c>
      <c r="O12" s="10">
        <f t="shared" si="2"/>
        <v>140</v>
      </c>
      <c r="P12" s="12">
        <f t="shared" si="3"/>
        <v>1</v>
      </c>
    </row>
    <row r="13" spans="1:16" x14ac:dyDescent="0.3">
      <c r="A13" s="11" t="s">
        <v>43</v>
      </c>
      <c r="B13" s="7" t="s">
        <v>14</v>
      </c>
      <c r="C13" s="8">
        <v>46068</v>
      </c>
      <c r="D13" s="8">
        <v>46073</v>
      </c>
      <c r="E13" s="7" t="s">
        <v>15</v>
      </c>
      <c r="F13" s="7" t="s">
        <v>31</v>
      </c>
      <c r="G13" s="9">
        <v>1</v>
      </c>
      <c r="H13" s="10">
        <v>200</v>
      </c>
      <c r="I13" s="10">
        <v>90</v>
      </c>
      <c r="J13" s="7" t="s">
        <v>17</v>
      </c>
      <c r="K13" s="7" t="s">
        <v>18</v>
      </c>
      <c r="L13" s="7" t="s">
        <v>6</v>
      </c>
      <c r="M13" s="10">
        <f t="shared" si="0"/>
        <v>200</v>
      </c>
      <c r="N13" s="10">
        <f t="shared" si="1"/>
        <v>90</v>
      </c>
      <c r="O13" s="10">
        <f t="shared" si="2"/>
        <v>110</v>
      </c>
      <c r="P13" s="12">
        <f t="shared" si="3"/>
        <v>5</v>
      </c>
    </row>
    <row r="14" spans="1:16" x14ac:dyDescent="0.3">
      <c r="A14" s="11" t="s">
        <v>44</v>
      </c>
      <c r="B14" s="7" t="s">
        <v>45</v>
      </c>
      <c r="C14" s="8">
        <v>46071</v>
      </c>
      <c r="D14" s="8">
        <v>46072</v>
      </c>
      <c r="E14" s="7" t="s">
        <v>2</v>
      </c>
      <c r="F14" s="7" t="s">
        <v>22</v>
      </c>
      <c r="G14" s="9">
        <v>1</v>
      </c>
      <c r="H14" s="10">
        <v>150</v>
      </c>
      <c r="I14" s="10">
        <v>70</v>
      </c>
      <c r="J14" s="7" t="s">
        <v>26</v>
      </c>
      <c r="K14" s="7" t="s">
        <v>27</v>
      </c>
      <c r="L14" s="7" t="s">
        <v>6</v>
      </c>
      <c r="M14" s="10">
        <f t="shared" si="0"/>
        <v>150</v>
      </c>
      <c r="N14" s="10">
        <f t="shared" si="1"/>
        <v>70</v>
      </c>
      <c r="O14" s="10">
        <f t="shared" si="2"/>
        <v>80</v>
      </c>
      <c r="P14" s="12">
        <f t="shared" si="3"/>
        <v>1</v>
      </c>
    </row>
    <row r="15" spans="1:16" x14ac:dyDescent="0.3">
      <c r="A15" s="11" t="s">
        <v>46</v>
      </c>
      <c r="B15" s="7" t="s">
        <v>47</v>
      </c>
      <c r="C15" s="8">
        <v>46075</v>
      </c>
      <c r="D15" s="8">
        <v>46077</v>
      </c>
      <c r="E15" s="7" t="s">
        <v>9</v>
      </c>
      <c r="F15" s="7" t="s">
        <v>25</v>
      </c>
      <c r="G15" s="9">
        <v>2</v>
      </c>
      <c r="H15" s="10">
        <v>300</v>
      </c>
      <c r="I15" s="10">
        <v>150</v>
      </c>
      <c r="J15" s="7" t="s">
        <v>4</v>
      </c>
      <c r="K15" s="7" t="s">
        <v>5</v>
      </c>
      <c r="L15" s="7" t="s">
        <v>6</v>
      </c>
      <c r="M15" s="10">
        <f t="shared" si="0"/>
        <v>600</v>
      </c>
      <c r="N15" s="10">
        <f t="shared" si="1"/>
        <v>300</v>
      </c>
      <c r="O15" s="10">
        <f t="shared" si="2"/>
        <v>300</v>
      </c>
      <c r="P15" s="12">
        <f t="shared" si="3"/>
        <v>2</v>
      </c>
    </row>
    <row r="16" spans="1:16" x14ac:dyDescent="0.3">
      <c r="A16" s="11" t="s">
        <v>48</v>
      </c>
      <c r="B16" s="7" t="s">
        <v>24</v>
      </c>
      <c r="C16" s="8">
        <v>46078</v>
      </c>
      <c r="D16" s="8">
        <v>46081</v>
      </c>
      <c r="E16" s="7" t="s">
        <v>9</v>
      </c>
      <c r="F16" s="7" t="s">
        <v>34</v>
      </c>
      <c r="G16" s="9">
        <v>1</v>
      </c>
      <c r="H16" s="10">
        <v>180</v>
      </c>
      <c r="I16" s="10">
        <v>80</v>
      </c>
      <c r="J16" s="7" t="s">
        <v>26</v>
      </c>
      <c r="K16" s="7" t="s">
        <v>27</v>
      </c>
      <c r="L16" s="7" t="s">
        <v>19</v>
      </c>
      <c r="M16" s="10">
        <f t="shared" si="0"/>
        <v>180</v>
      </c>
      <c r="N16" s="10">
        <f t="shared" si="1"/>
        <v>80</v>
      </c>
      <c r="O16" s="10">
        <f t="shared" si="2"/>
        <v>100</v>
      </c>
      <c r="P16" s="12">
        <f t="shared" si="3"/>
        <v>3</v>
      </c>
    </row>
    <row r="17" spans="1:16" x14ac:dyDescent="0.3">
      <c r="A17" s="11" t="s">
        <v>49</v>
      </c>
      <c r="B17" s="7" t="s">
        <v>50</v>
      </c>
      <c r="C17" s="8">
        <v>46082</v>
      </c>
      <c r="D17" s="8">
        <v>46084</v>
      </c>
      <c r="E17" s="7" t="s">
        <v>2</v>
      </c>
      <c r="F17" s="7" t="s">
        <v>3</v>
      </c>
      <c r="G17" s="9">
        <v>3</v>
      </c>
      <c r="H17" s="10">
        <v>120</v>
      </c>
      <c r="I17" s="10">
        <v>50</v>
      </c>
      <c r="J17" s="7" t="s">
        <v>11</v>
      </c>
      <c r="K17" s="7" t="s">
        <v>12</v>
      </c>
      <c r="L17" s="7" t="s">
        <v>6</v>
      </c>
      <c r="M17" s="10">
        <f t="shared" si="0"/>
        <v>360</v>
      </c>
      <c r="N17" s="10">
        <f t="shared" si="1"/>
        <v>150</v>
      </c>
      <c r="O17" s="10">
        <f t="shared" si="2"/>
        <v>210</v>
      </c>
      <c r="P17" s="12">
        <f t="shared" si="3"/>
        <v>2</v>
      </c>
    </row>
    <row r="18" spans="1:16" x14ac:dyDescent="0.3">
      <c r="A18" s="11" t="s">
        <v>51</v>
      </c>
      <c r="B18" s="7" t="s">
        <v>52</v>
      </c>
      <c r="C18" s="8">
        <v>46085</v>
      </c>
      <c r="D18" s="8">
        <v>46086</v>
      </c>
      <c r="E18" s="7" t="s">
        <v>15</v>
      </c>
      <c r="F18" s="7" t="s">
        <v>16</v>
      </c>
      <c r="G18" s="9">
        <v>2</v>
      </c>
      <c r="H18" s="10">
        <v>80</v>
      </c>
      <c r="I18" s="10">
        <v>30</v>
      </c>
      <c r="J18" s="7" t="s">
        <v>17</v>
      </c>
      <c r="K18" s="7" t="s">
        <v>35</v>
      </c>
      <c r="L18" s="7" t="s">
        <v>6</v>
      </c>
      <c r="M18" s="10">
        <f t="shared" si="0"/>
        <v>160</v>
      </c>
      <c r="N18" s="10">
        <f t="shared" si="1"/>
        <v>60</v>
      </c>
      <c r="O18" s="10">
        <f t="shared" si="2"/>
        <v>100</v>
      </c>
      <c r="P18" s="12">
        <f t="shared" si="3"/>
        <v>1</v>
      </c>
    </row>
    <row r="19" spans="1:16" x14ac:dyDescent="0.3">
      <c r="A19" s="11" t="s">
        <v>53</v>
      </c>
      <c r="B19" s="7" t="s">
        <v>54</v>
      </c>
      <c r="C19" s="8">
        <v>46091</v>
      </c>
      <c r="D19" s="8">
        <v>46095</v>
      </c>
      <c r="E19" s="7" t="s">
        <v>2</v>
      </c>
      <c r="F19" s="7" t="s">
        <v>22</v>
      </c>
      <c r="G19" s="9">
        <v>1</v>
      </c>
      <c r="H19" s="10">
        <v>150</v>
      </c>
      <c r="I19" s="10">
        <v>70</v>
      </c>
      <c r="J19" s="7" t="s">
        <v>4</v>
      </c>
      <c r="K19" s="7" t="s">
        <v>5</v>
      </c>
      <c r="L19" s="7" t="s">
        <v>6</v>
      </c>
      <c r="M19" s="10">
        <f t="shared" si="0"/>
        <v>150</v>
      </c>
      <c r="N19" s="10">
        <f t="shared" si="1"/>
        <v>70</v>
      </c>
      <c r="O19" s="10">
        <f t="shared" si="2"/>
        <v>80</v>
      </c>
      <c r="P19" s="12">
        <f t="shared" si="3"/>
        <v>4</v>
      </c>
    </row>
    <row r="20" spans="1:16" x14ac:dyDescent="0.3">
      <c r="A20" s="11" t="s">
        <v>55</v>
      </c>
      <c r="B20" s="7" t="s">
        <v>56</v>
      </c>
      <c r="C20" s="8">
        <v>46096</v>
      </c>
      <c r="D20" s="8">
        <v>46097</v>
      </c>
      <c r="E20" s="7" t="s">
        <v>9</v>
      </c>
      <c r="F20" s="7" t="s">
        <v>10</v>
      </c>
      <c r="G20" s="9">
        <v>2</v>
      </c>
      <c r="H20" s="10">
        <v>250</v>
      </c>
      <c r="I20" s="10">
        <v>110</v>
      </c>
      <c r="J20" s="7" t="s">
        <v>26</v>
      </c>
      <c r="K20" s="7" t="s">
        <v>27</v>
      </c>
      <c r="L20" s="7" t="s">
        <v>6</v>
      </c>
      <c r="M20" s="10">
        <f t="shared" si="0"/>
        <v>500</v>
      </c>
      <c r="N20" s="10">
        <f t="shared" si="1"/>
        <v>220</v>
      </c>
      <c r="O20" s="10">
        <f t="shared" si="2"/>
        <v>280</v>
      </c>
      <c r="P20" s="12">
        <f t="shared" si="3"/>
        <v>1</v>
      </c>
    </row>
    <row r="21" spans="1:16" x14ac:dyDescent="0.3">
      <c r="A21" s="19" t="s">
        <v>57</v>
      </c>
      <c r="B21" s="20" t="s">
        <v>58</v>
      </c>
      <c r="C21" s="21">
        <v>46103</v>
      </c>
      <c r="D21" s="21">
        <v>46106</v>
      </c>
      <c r="E21" s="20" t="s">
        <v>15</v>
      </c>
      <c r="F21" s="20" t="s">
        <v>31</v>
      </c>
      <c r="G21" s="22">
        <v>1</v>
      </c>
      <c r="H21" s="23">
        <v>200</v>
      </c>
      <c r="I21" s="23">
        <v>90</v>
      </c>
      <c r="J21" s="20" t="s">
        <v>11</v>
      </c>
      <c r="K21" s="20" t="s">
        <v>12</v>
      </c>
      <c r="L21" s="20" t="s">
        <v>6</v>
      </c>
      <c r="M21" s="23">
        <f t="shared" si="0"/>
        <v>200</v>
      </c>
      <c r="N21" s="23">
        <f t="shared" si="1"/>
        <v>90</v>
      </c>
      <c r="O21" s="23">
        <f t="shared" si="2"/>
        <v>110</v>
      </c>
      <c r="P21" s="24">
        <f t="shared" si="3"/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9C23-6D9E-47AA-8A4C-EC5D62C0FE28}">
  <dimension ref="A1:N9"/>
  <sheetViews>
    <sheetView zoomScale="70" zoomScaleNormal="70" workbookViewId="0">
      <selection activeCell="P8" sqref="P8"/>
    </sheetView>
  </sheetViews>
  <sheetFormatPr defaultRowHeight="14.4" x14ac:dyDescent="0.3"/>
  <cols>
    <col min="1" max="1" width="21.88671875" bestFit="1" customWidth="1"/>
    <col min="2" max="2" width="18.33203125" bestFit="1" customWidth="1"/>
    <col min="3" max="3" width="19.44140625" bestFit="1" customWidth="1"/>
    <col min="7" max="7" width="21.88671875" bestFit="1" customWidth="1"/>
    <col min="8" max="8" width="18.33203125" bestFit="1" customWidth="1"/>
    <col min="9" max="9" width="14.5546875" bestFit="1" customWidth="1"/>
    <col min="13" max="13" width="21.88671875" bestFit="1" customWidth="1"/>
    <col min="14" max="14" width="33.33203125" bestFit="1" customWidth="1"/>
  </cols>
  <sheetData>
    <row r="1" spans="1:14" x14ac:dyDescent="0.3">
      <c r="A1" s="27" t="s">
        <v>75</v>
      </c>
      <c r="B1" s="7" t="s">
        <v>77</v>
      </c>
      <c r="C1" s="7" t="s">
        <v>78</v>
      </c>
      <c r="G1" s="25" t="s">
        <v>75</v>
      </c>
      <c r="H1" s="2" t="s">
        <v>77</v>
      </c>
      <c r="I1" s="2" t="s">
        <v>82</v>
      </c>
      <c r="M1" s="27" t="s">
        <v>74</v>
      </c>
      <c r="N1" s="7" t="s">
        <v>84</v>
      </c>
    </row>
    <row r="2" spans="1:14" x14ac:dyDescent="0.3">
      <c r="A2" s="7" t="s">
        <v>4</v>
      </c>
      <c r="B2" s="10">
        <v>1720</v>
      </c>
      <c r="C2" s="10">
        <v>930</v>
      </c>
      <c r="G2" s="2" t="s">
        <v>79</v>
      </c>
      <c r="H2" s="5">
        <v>2020</v>
      </c>
      <c r="I2" s="26">
        <v>8</v>
      </c>
    </row>
    <row r="3" spans="1:14" x14ac:dyDescent="0.3">
      <c r="A3" s="7" t="s">
        <v>11</v>
      </c>
      <c r="B3" s="10">
        <v>1460</v>
      </c>
      <c r="C3" s="10">
        <v>820</v>
      </c>
      <c r="G3" s="2" t="s">
        <v>80</v>
      </c>
      <c r="H3" s="5">
        <v>1840</v>
      </c>
      <c r="I3" s="26">
        <v>7</v>
      </c>
      <c r="M3" s="27" t="s">
        <v>75</v>
      </c>
      <c r="N3" s="7" t="s">
        <v>83</v>
      </c>
    </row>
    <row r="4" spans="1:14" x14ac:dyDescent="0.3">
      <c r="A4" s="7" t="s">
        <v>26</v>
      </c>
      <c r="B4" s="10">
        <v>1430</v>
      </c>
      <c r="C4" s="10">
        <v>785</v>
      </c>
      <c r="G4" s="2" t="s">
        <v>81</v>
      </c>
      <c r="H4" s="5">
        <v>1370</v>
      </c>
      <c r="I4" s="26">
        <v>5</v>
      </c>
      <c r="M4" s="7" t="s">
        <v>18</v>
      </c>
      <c r="N4" s="28">
        <v>3</v>
      </c>
    </row>
    <row r="5" spans="1:14" x14ac:dyDescent="0.3">
      <c r="A5" s="7" t="s">
        <v>17</v>
      </c>
      <c r="B5" s="10">
        <v>620</v>
      </c>
      <c r="C5" s="10">
        <v>360</v>
      </c>
      <c r="G5" s="2" t="s">
        <v>76</v>
      </c>
      <c r="H5" s="5">
        <v>5230</v>
      </c>
      <c r="I5" s="26">
        <v>20</v>
      </c>
      <c r="M5" s="7" t="s">
        <v>5</v>
      </c>
      <c r="N5" s="29">
        <v>3.1666666666666665</v>
      </c>
    </row>
    <row r="6" spans="1:14" x14ac:dyDescent="0.3">
      <c r="A6" s="7" t="s">
        <v>76</v>
      </c>
      <c r="B6" s="10">
        <v>5230</v>
      </c>
      <c r="C6" s="10">
        <v>2895</v>
      </c>
      <c r="M6" s="7" t="s">
        <v>12</v>
      </c>
      <c r="N6" s="28">
        <v>2.2000000000000002</v>
      </c>
    </row>
    <row r="7" spans="1:14" x14ac:dyDescent="0.3">
      <c r="M7" s="7" t="s">
        <v>27</v>
      </c>
      <c r="N7" s="28">
        <v>1.4</v>
      </c>
    </row>
    <row r="8" spans="1:14" x14ac:dyDescent="0.3">
      <c r="M8" s="7" t="s">
        <v>35</v>
      </c>
      <c r="N8" s="28">
        <v>2.5</v>
      </c>
    </row>
    <row r="9" spans="1:14" x14ac:dyDescent="0.3">
      <c r="M9" s="7" t="s">
        <v>76</v>
      </c>
      <c r="N9" s="28">
        <v>2.4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7D66-E06A-473B-B79A-09AF080DA4C3}">
  <dimension ref="A1:R16"/>
  <sheetViews>
    <sheetView showGridLines="0" tabSelected="1" zoomScale="55" zoomScaleNormal="55" workbookViewId="0">
      <selection activeCell="T35" sqref="T35"/>
    </sheetView>
  </sheetViews>
  <sheetFormatPr defaultRowHeight="14.4" x14ac:dyDescent="0.3"/>
  <sheetData>
    <row r="1" spans="1:18" x14ac:dyDescent="0.3">
      <c r="A1" s="30" t="s">
        <v>85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x14ac:dyDescent="0.3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x14ac:dyDescent="0.3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7" spans="1:18" ht="14.4" customHeight="1" x14ac:dyDescent="0.3">
      <c r="B7" s="32" t="s">
        <v>86</v>
      </c>
      <c r="C7" s="32"/>
      <c r="D7" s="32"/>
      <c r="E7" s="32"/>
      <c r="H7" s="32" t="s">
        <v>87</v>
      </c>
      <c r="I7" s="32"/>
      <c r="J7" s="32"/>
      <c r="K7" s="32"/>
      <c r="N7" s="32" t="s">
        <v>88</v>
      </c>
      <c r="O7" s="32"/>
      <c r="P7" s="32"/>
      <c r="Q7" s="32"/>
    </row>
    <row r="8" spans="1:18" ht="14.4" customHeight="1" x14ac:dyDescent="0.3">
      <c r="B8" s="32"/>
      <c r="C8" s="32"/>
      <c r="D8" s="32"/>
      <c r="E8" s="32"/>
      <c r="H8" s="32"/>
      <c r="I8" s="32"/>
      <c r="J8" s="32"/>
      <c r="K8" s="32"/>
      <c r="N8" s="32"/>
      <c r="O8" s="32"/>
      <c r="P8" s="32"/>
      <c r="Q8" s="32"/>
    </row>
    <row r="9" spans="1:18" ht="14.4" customHeight="1" x14ac:dyDescent="0.3">
      <c r="B9" s="32"/>
      <c r="C9" s="32"/>
      <c r="D9" s="32"/>
      <c r="E9" s="32"/>
      <c r="H9" s="32"/>
      <c r="I9" s="32"/>
      <c r="J9" s="32"/>
      <c r="K9" s="32"/>
      <c r="N9" s="32"/>
      <c r="O9" s="32"/>
      <c r="P9" s="32"/>
      <c r="Q9" s="32"/>
    </row>
    <row r="10" spans="1:18" ht="14.4" customHeight="1" x14ac:dyDescent="0.3">
      <c r="B10" s="33">
        <f>SUM(Master_Data!M:M)</f>
        <v>5230</v>
      </c>
      <c r="C10" s="33"/>
      <c r="D10" s="33"/>
      <c r="E10" s="33"/>
      <c r="H10" s="33">
        <f>SUM(Master_Data!O:O)</f>
        <v>2895</v>
      </c>
      <c r="I10" s="33"/>
      <c r="J10" s="33"/>
      <c r="K10" s="33"/>
      <c r="N10" s="34">
        <f>AVERAGE(Master_Data!P:P)</f>
        <v>2.4</v>
      </c>
      <c r="O10" s="34"/>
      <c r="P10" s="34"/>
      <c r="Q10" s="34"/>
    </row>
    <row r="11" spans="1:18" ht="14.4" customHeight="1" x14ac:dyDescent="0.3">
      <c r="B11" s="33"/>
      <c r="C11" s="33"/>
      <c r="D11" s="33"/>
      <c r="E11" s="33"/>
      <c r="H11" s="33"/>
      <c r="I11" s="33"/>
      <c r="J11" s="33"/>
      <c r="K11" s="33"/>
      <c r="N11" s="34"/>
      <c r="O11" s="34"/>
      <c r="P11" s="34"/>
      <c r="Q11" s="34"/>
    </row>
    <row r="16" spans="1:18" x14ac:dyDescent="0.3">
      <c r="H16" s="31"/>
    </row>
  </sheetData>
  <mergeCells count="7">
    <mergeCell ref="A1:R5"/>
    <mergeCell ref="B7:E9"/>
    <mergeCell ref="B10:E11"/>
    <mergeCell ref="H7:K9"/>
    <mergeCell ref="H10:K11"/>
    <mergeCell ref="N7:Q9"/>
    <mergeCell ref="N10:Q1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Master_Data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 Barış Ergin</dc:creator>
  <cp:lastModifiedBy>Emir Barış Ergin</cp:lastModifiedBy>
  <dcterms:created xsi:type="dcterms:W3CDTF">2026-06-04T17:05:03Z</dcterms:created>
  <dcterms:modified xsi:type="dcterms:W3CDTF">2026-06-04T17:54:55Z</dcterms:modified>
</cp:coreProperties>
</file>